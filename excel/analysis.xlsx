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Lookup" sheetId="2" state="visible" r:id="rId4"/>
    <sheet name="Clea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<sst xmlns="http://schemas.openxmlformats.org/spreadsheetml/2006/main" count="130" uniqueCount="43">
  <si>
    <t xml:space="preserve">assessment_id</t>
  </si>
  <si>
    <t xml:space="preserve">month</t>
  </si>
  <si>
    <t xml:space="preserve">course_id</t>
  </si>
  <si>
    <t xml:space="preserve">batch</t>
  </si>
  <si>
    <t xml:space="preserve">score</t>
  </si>
  <si>
    <t xml:space="preserve">attendance_pct</t>
  </si>
  <si>
    <t xml:space="preserve">Before row count (data rows)</t>
  </si>
  <si>
    <t xml:space="preserve">Jan</t>
  </si>
  <si>
    <t xml:space="preserve">C1</t>
  </si>
  <si>
    <t xml:space="preserve">Morning</t>
  </si>
  <si>
    <t xml:space="preserve">Note</t>
  </si>
  <si>
    <t xml:space="preserve">Raw data pasted unchanged (13 rows incl. duplicate id 12)</t>
  </si>
  <si>
    <t xml:space="preserve">C2</t>
  </si>
  <si>
    <t xml:space="preserve">Evening</t>
  </si>
  <si>
    <t xml:space="preserve">C3</t>
  </si>
  <si>
    <t xml:space="preserve">C4</t>
  </si>
  <si>
    <t xml:space="preserve">Weekend</t>
  </si>
  <si>
    <t xml:space="preserve">Feb</t>
  </si>
  <si>
    <t xml:space="preserve">Mar</t>
  </si>
  <si>
    <t xml:space="preserve">course</t>
  </si>
  <si>
    <t xml:space="preserve">department</t>
  </si>
  <si>
    <t xml:space="preserve">Excel</t>
  </si>
  <si>
    <t xml:space="preserve">Business</t>
  </si>
  <si>
    <t xml:space="preserve">PowerBI</t>
  </si>
  <si>
    <t xml:space="preserve">SQL</t>
  </si>
  <si>
    <t xml:space="preserve">Technology</t>
  </si>
  <si>
    <t xml:space="preserve">Python</t>
  </si>
  <si>
    <t xml:space="preserve">pass_flag</t>
  </si>
  <si>
    <t xml:space="preserve">Before row count</t>
  </si>
  <si>
    <t xml:space="preserve">After row count</t>
  </si>
  <si>
    <t xml:space="preserve">Duplicates removed</t>
  </si>
  <si>
    <t xml:space="preserve">Note: department via INDEX/MATCH on course_id (XLOOKUP equivalent); pass_flag = IF(score&gt;=50,1,0)</t>
  </si>
  <si>
    <t xml:space="preserve">E2: Passing assessments by batch (COUNTIFS on pass_flag = 1)</t>
  </si>
  <si>
    <t xml:space="preserve">Batch</t>
  </si>
  <si>
    <t xml:space="preserve">Passing assessments</t>
  </si>
  <si>
    <t xml:space="preserve">Total assessments</t>
  </si>
  <si>
    <t xml:space="preserve">Pass rate</t>
  </si>
  <si>
    <t xml:space="preserve">Total</t>
  </si>
  <si>
    <t xml:space="preserve">E3: Average score by Department (rows) x Month (columns, Jan -&gt; Feb -&gt; Mar)</t>
  </si>
  <si>
    <t xml:space="preserve">Department</t>
  </si>
  <si>
    <t xml:space="preserve">Cross-tool reconciliation: Technology avg score</t>
  </si>
  <si>
    <t xml:space="preserve">Overall pass rate (all 12)</t>
  </si>
  <si>
    <t xml:space="preserve">NOTE: The table above (A9:D11) is the pivot-style summary built with live AVERAGEIFS formulas. A native PivotTable (Insert &gt; PivotTable on Clean: Rows=department, Columns=month, Values=Average of score) can be placed at F9; see README.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</si>
</sst>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%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392B"/>
        <bgColor rgb="FFC0504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Score by Department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Summary!$A$10:$A$11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Summary!$B$10:$B$11</c:f>
              <c:numCache>
                <c:formatCode>0.00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</c:ser>
        <c:ser>
          <c:idx val="1"/>
          <c:order val="1"/>
          <c:tx>
            <c:strRef>
              <c:f>Summary!C9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Summary!$A$10:$A$11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Summary!$C$10:$C$11</c:f>
              <c:numCache>
                <c:formatCode>0.00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</c:ser>
        <c:ser>
          <c:idx val="2"/>
          <c:order val="2"/>
          <c:tx>
            <c:strRef>
              <c:f>Summary!D9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Summary!$A$10:$A$11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Summary!$D$10:$D$11</c:f>
              <c:numCache>
                <c:formatCode>0.00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</c:ser>
        <c:gapWidth val="150"/>
        <c:overlap val="0"/>
        <c:axId val="52213240"/>
        <c:axId val="33744813"/>
      </c:barChart>
      <c:catAx>
        <c:axId val="522132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44813"/>
        <c:crosses val="autoZero"/>
        <c:auto val="1"/>
        <c:lblAlgn val="ctr"/>
        <c:lblOffset val="100"/>
        <c:noMultiLvlLbl val="0"/>
      </c:catAx>
      <c:valAx>
        <c:axId val="33744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132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4</xdr:col>
      <xdr:colOff>120960</xdr:colOff>
      <xdr:row>32</xdr:row>
      <xdr:rowOff>22320</xdr:rowOff>
    </xdr:to>
    <xdr:graphicFrame>
      <xdr:nvGraphicFramePr>
        <xdr:cNvPr id="0" name="Chart 1"/>
        <xdr:cNvGraphicFramePr/>
      </xdr:nvGraphicFramePr>
      <xdr:xfrm>
        <a:off x="0" y="3238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 t="s">
        <v>6</v>
      </c>
      <c r="I1" s="2" t="n">
        <f aca="false">COUNTA(A2:A14)</f>
        <v>13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n">
        <v>72</v>
      </c>
      <c r="F2" s="2" t="n">
        <v>90</v>
      </c>
      <c r="G2" s="2"/>
      <c r="H2" s="2" t="s">
        <v>10</v>
      </c>
      <c r="I2" s="2" t="s">
        <v>11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12</v>
      </c>
      <c r="D3" s="2" t="s">
        <v>13</v>
      </c>
      <c r="E3" s="2" t="n">
        <v>45</v>
      </c>
      <c r="F3" s="2" t="n">
        <v>70</v>
      </c>
      <c r="G3" s="2"/>
      <c r="H3" s="2"/>
      <c r="I3" s="2"/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14</v>
      </c>
      <c r="D4" s="2" t="s">
        <v>9</v>
      </c>
      <c r="E4" s="2" t="n">
        <v>65</v>
      </c>
      <c r="F4" s="2" t="n">
        <v>85</v>
      </c>
      <c r="G4" s="2"/>
      <c r="H4" s="2"/>
      <c r="I4" s="2"/>
    </row>
    <row r="5" customFormat="false" ht="15" hidden="false" customHeight="false" outlineLevel="0" collapsed="false">
      <c r="A5" s="2" t="n">
        <v>4</v>
      </c>
      <c r="B5" s="2" t="s">
        <v>7</v>
      </c>
      <c r="C5" s="2" t="s">
        <v>15</v>
      </c>
      <c r="D5" s="2" t="s">
        <v>16</v>
      </c>
      <c r="E5" s="2" t="n">
        <v>38</v>
      </c>
      <c r="F5" s="2" t="n">
        <v>60</v>
      </c>
      <c r="G5" s="2"/>
      <c r="H5" s="2"/>
      <c r="I5" s="2"/>
    </row>
    <row r="6" customFormat="false" ht="15" hidden="false" customHeight="false" outlineLevel="0" collapsed="false">
      <c r="A6" s="2" t="n">
        <v>5</v>
      </c>
      <c r="B6" s="2" t="s">
        <v>17</v>
      </c>
      <c r="C6" s="2" t="s">
        <v>8</v>
      </c>
      <c r="D6" s="2" t="s">
        <v>13</v>
      </c>
      <c r="E6" s="2" t="n">
        <v>80</v>
      </c>
      <c r="F6" s="2" t="n">
        <v>95</v>
      </c>
      <c r="G6" s="2"/>
      <c r="H6" s="2"/>
      <c r="I6" s="2"/>
    </row>
    <row r="7" customFormat="false" ht="15" hidden="false" customHeight="false" outlineLevel="0" collapsed="false">
      <c r="A7" s="2" t="n">
        <v>6</v>
      </c>
      <c r="B7" s="2" t="s">
        <v>17</v>
      </c>
      <c r="C7" s="2" t="s">
        <v>12</v>
      </c>
      <c r="D7" s="2" t="s">
        <v>16</v>
      </c>
      <c r="E7" s="2" t="n">
        <v>55</v>
      </c>
      <c r="F7" s="2" t="n">
        <v>80</v>
      </c>
      <c r="G7" s="2"/>
      <c r="H7" s="2"/>
      <c r="I7" s="2"/>
    </row>
    <row r="8" customFormat="false" ht="15" hidden="false" customHeight="false" outlineLevel="0" collapsed="false">
      <c r="A8" s="2" t="n">
        <v>7</v>
      </c>
      <c r="B8" s="2" t="s">
        <v>17</v>
      </c>
      <c r="C8" s="2" t="s">
        <v>14</v>
      </c>
      <c r="D8" s="2" t="s">
        <v>9</v>
      </c>
      <c r="E8" s="2" t="n">
        <v>48</v>
      </c>
      <c r="F8" s="2" t="n">
        <v>75</v>
      </c>
      <c r="G8" s="2"/>
      <c r="H8" s="2"/>
      <c r="I8" s="2"/>
    </row>
    <row r="9" customFormat="false" ht="15" hidden="false" customHeight="false" outlineLevel="0" collapsed="false">
      <c r="A9" s="2" t="n">
        <v>8</v>
      </c>
      <c r="B9" s="2" t="s">
        <v>17</v>
      </c>
      <c r="C9" s="2" t="s">
        <v>15</v>
      </c>
      <c r="D9" s="2" t="s">
        <v>13</v>
      </c>
      <c r="E9" s="2" t="n">
        <v>68</v>
      </c>
      <c r="F9" s="2" t="n">
        <v>88</v>
      </c>
      <c r="G9" s="2"/>
      <c r="H9" s="2"/>
      <c r="I9" s="2"/>
    </row>
    <row r="10" customFormat="false" ht="15" hidden="false" customHeight="false" outlineLevel="0" collapsed="false">
      <c r="A10" s="2" t="n">
        <v>9</v>
      </c>
      <c r="B10" s="2" t="s">
        <v>18</v>
      </c>
      <c r="C10" s="2" t="s">
        <v>8</v>
      </c>
      <c r="D10" s="2" t="s">
        <v>16</v>
      </c>
      <c r="E10" s="2" t="n">
        <v>90</v>
      </c>
      <c r="F10" s="2" t="n">
        <v>98</v>
      </c>
      <c r="G10" s="2"/>
      <c r="H10" s="2"/>
      <c r="I10" s="2"/>
    </row>
    <row r="11" customFormat="false" ht="15" hidden="false" customHeight="false" outlineLevel="0" collapsed="false">
      <c r="A11" s="2" t="n">
        <v>10</v>
      </c>
      <c r="B11" s="2" t="s">
        <v>18</v>
      </c>
      <c r="C11" s="2" t="s">
        <v>12</v>
      </c>
      <c r="D11" s="2" t="s">
        <v>9</v>
      </c>
      <c r="E11" s="2" t="n">
        <v>60</v>
      </c>
      <c r="F11" s="2" t="n">
        <v>82</v>
      </c>
      <c r="G11" s="2"/>
      <c r="H11" s="2"/>
      <c r="I11" s="2"/>
    </row>
    <row r="12" customFormat="false" ht="15" hidden="false" customHeight="false" outlineLevel="0" collapsed="false">
      <c r="A12" s="2" t="n">
        <v>11</v>
      </c>
      <c r="B12" s="2" t="s">
        <v>18</v>
      </c>
      <c r="C12" s="2" t="s">
        <v>14</v>
      </c>
      <c r="D12" s="2" t="s">
        <v>13</v>
      </c>
      <c r="E12" s="2" t="n">
        <v>75</v>
      </c>
      <c r="F12" s="2" t="n">
        <v>92</v>
      </c>
      <c r="G12" s="2"/>
      <c r="H12" s="2"/>
      <c r="I12" s="2"/>
    </row>
    <row r="13" customFormat="false" ht="15" hidden="false" customHeight="false" outlineLevel="0" collapsed="false">
      <c r="A13" s="2" t="n">
        <v>12</v>
      </c>
      <c r="B13" s="2" t="s">
        <v>18</v>
      </c>
      <c r="C13" s="2" t="s">
        <v>15</v>
      </c>
      <c r="D13" s="2" t="s">
        <v>16</v>
      </c>
      <c r="E13" s="2" t="n">
        <v>42</v>
      </c>
      <c r="F13" s="2" t="n">
        <v>65</v>
      </c>
      <c r="G13" s="2"/>
      <c r="H13" s="2"/>
      <c r="I13" s="2"/>
    </row>
    <row r="14" customFormat="false" ht="15" hidden="false" customHeight="false" outlineLevel="0" collapsed="false">
      <c r="A14" s="2" t="n">
        <v>12</v>
      </c>
      <c r="B14" s="2" t="s">
        <v>18</v>
      </c>
      <c r="C14" s="2" t="s">
        <v>15</v>
      </c>
      <c r="D14" s="2" t="s">
        <v>16</v>
      </c>
      <c r="E14" s="2" t="n">
        <v>42</v>
      </c>
      <c r="F14" s="2" t="n">
        <v>65</v>
      </c>
      <c r="G14" s="2"/>
      <c r="H14" s="2"/>
      <c r="I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15" hidden="false" customHeight="false" outlineLevel="0" collapsed="false">
      <c r="A1" s="1" t="s">
        <v>2</v>
      </c>
      <c r="B1" s="1" t="s">
        <v>19</v>
      </c>
      <c r="C1" s="1" t="s">
        <v>20</v>
      </c>
    </row>
    <row r="2" customFormat="false" ht="15" hidden="false" customHeight="false" outlineLevel="0" collapsed="false">
      <c r="A2" s="2" t="s">
        <v>8</v>
      </c>
      <c r="B2" s="2" t="s">
        <v>21</v>
      </c>
      <c r="C2" s="2" t="s">
        <v>22</v>
      </c>
    </row>
    <row r="3" customFormat="false" ht="15" hidden="false" customHeight="false" outlineLevel="0" collapsed="false">
      <c r="A3" s="2" t="s">
        <v>12</v>
      </c>
      <c r="B3" s="2" t="s">
        <v>23</v>
      </c>
      <c r="C3" s="2" t="s">
        <v>22</v>
      </c>
    </row>
    <row r="4" customFormat="false" ht="15" hidden="false" customHeight="false" outlineLevel="0" collapsed="false">
      <c r="A4" s="2" t="s">
        <v>14</v>
      </c>
      <c r="B4" s="2" t="s">
        <v>24</v>
      </c>
      <c r="C4" s="2" t="s">
        <v>25</v>
      </c>
    </row>
    <row r="5" customFormat="false" ht="15" hidden="false" customHeight="false" outlineLevel="0" collapsed="false">
      <c r="A5" s="2" t="s">
        <v>15</v>
      </c>
      <c r="B5" s="2" t="s">
        <v>26</v>
      </c>
      <c r="C5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27</v>
      </c>
      <c r="I1" s="2"/>
      <c r="J1" s="2" t="s">
        <v>28</v>
      </c>
      <c r="K1" s="2" t="n">
        <f aca="false">Raw!I1</f>
        <v>13</v>
      </c>
    </row>
    <row r="2" customFormat="false" ht="15" hidden="false" customHeight="false" outlineLevel="0" collapsed="false">
      <c r="A2" s="2" t="n">
        <v>1</v>
      </c>
      <c r="B2" s="3" t="s">
        <v>7</v>
      </c>
      <c r="C2" s="2" t="s">
        <v>8</v>
      </c>
      <c r="D2" s="2" t="s">
        <v>9</v>
      </c>
      <c r="E2" s="2" t="n">
        <v>72</v>
      </c>
      <c r="F2" s="2" t="n">
        <v>90</v>
      </c>
      <c r="G2" s="2" t="str">
        <f aca="false">INDEX(Lookup!$C$2:$C$5,MATCH(C2,Lookup!$A$2:$A$5,0))</f>
        <v>Business</v>
      </c>
      <c r="H2" s="2" t="n">
        <f aca="false">IF(E2&gt;=50,1,0)</f>
        <v>1</v>
      </c>
      <c r="I2" s="2"/>
      <c r="J2" s="2" t="s">
        <v>29</v>
      </c>
      <c r="K2" s="2" t="n">
        <f aca="false">COUNTA(A2:A13)</f>
        <v>12</v>
      </c>
    </row>
    <row r="3" customFormat="false" ht="15" hidden="false" customHeight="false" outlineLevel="0" collapsed="false">
      <c r="A3" s="2" t="n">
        <v>2</v>
      </c>
      <c r="B3" s="3" t="s">
        <v>7</v>
      </c>
      <c r="C3" s="2" t="s">
        <v>12</v>
      </c>
      <c r="D3" s="2" t="s">
        <v>13</v>
      </c>
      <c r="E3" s="2" t="n">
        <v>45</v>
      </c>
      <c r="F3" s="2" t="n">
        <v>70</v>
      </c>
      <c r="G3" s="2" t="str">
        <f aca="false">INDEX(Lookup!$C$2:$C$5,MATCH(C3,Lookup!$A$2:$A$5,0))</f>
        <v>Business</v>
      </c>
      <c r="H3" s="2" t="n">
        <f aca="false">IF(E3&gt;=50,1,0)</f>
        <v>0</v>
      </c>
      <c r="I3" s="2"/>
      <c r="J3" s="2" t="s">
        <v>30</v>
      </c>
      <c r="K3" s="2" t="n">
        <f aca="false">K1-K2</f>
        <v>1</v>
      </c>
    </row>
    <row r="4" customFormat="false" ht="15" hidden="false" customHeight="false" outlineLevel="0" collapsed="false">
      <c r="A4" s="2" t="n">
        <v>3</v>
      </c>
      <c r="B4" s="3" t="s">
        <v>7</v>
      </c>
      <c r="C4" s="2" t="s">
        <v>14</v>
      </c>
      <c r="D4" s="2" t="s">
        <v>9</v>
      </c>
      <c r="E4" s="2" t="n">
        <v>65</v>
      </c>
      <c r="F4" s="2" t="n">
        <v>85</v>
      </c>
      <c r="G4" s="2" t="str">
        <f aca="false">INDEX(Lookup!$C$2:$C$5,MATCH(C4,Lookup!$A$2:$A$5,0))</f>
        <v>Technology</v>
      </c>
      <c r="H4" s="2" t="n">
        <f aca="false">IF(E4&gt;=50,1,0)</f>
        <v>1</v>
      </c>
      <c r="I4" s="2"/>
      <c r="J4" s="2" t="s">
        <v>31</v>
      </c>
      <c r="K4" s="2"/>
    </row>
    <row r="5" customFormat="false" ht="15" hidden="false" customHeight="false" outlineLevel="0" collapsed="false">
      <c r="A5" s="2" t="n">
        <v>4</v>
      </c>
      <c r="B5" s="3" t="s">
        <v>7</v>
      </c>
      <c r="C5" s="2" t="s">
        <v>15</v>
      </c>
      <c r="D5" s="2" t="s">
        <v>16</v>
      </c>
      <c r="E5" s="2" t="n">
        <v>38</v>
      </c>
      <c r="F5" s="2" t="n">
        <v>60</v>
      </c>
      <c r="G5" s="2" t="str">
        <f aca="false">INDEX(Lookup!$C$2:$C$5,MATCH(C5,Lookup!$A$2:$A$5,0))</f>
        <v>Technology</v>
      </c>
      <c r="H5" s="2" t="n">
        <f aca="false">IF(E5&gt;=50,1,0)</f>
        <v>0</v>
      </c>
      <c r="I5" s="2"/>
      <c r="J5" s="2"/>
      <c r="K5" s="2"/>
    </row>
    <row r="6" customFormat="false" ht="15" hidden="false" customHeight="false" outlineLevel="0" collapsed="false">
      <c r="A6" s="2" t="n">
        <v>5</v>
      </c>
      <c r="B6" s="3" t="s">
        <v>17</v>
      </c>
      <c r="C6" s="2" t="s">
        <v>8</v>
      </c>
      <c r="D6" s="2" t="s">
        <v>13</v>
      </c>
      <c r="E6" s="2" t="n">
        <v>80</v>
      </c>
      <c r="F6" s="2" t="n">
        <v>95</v>
      </c>
      <c r="G6" s="2" t="str">
        <f aca="false">INDEX(Lookup!$C$2:$C$5,MATCH(C6,Lookup!$A$2:$A$5,0))</f>
        <v>Business</v>
      </c>
      <c r="H6" s="2" t="n">
        <f aca="false">IF(E6&gt;=50,1,0)</f>
        <v>1</v>
      </c>
      <c r="I6" s="2"/>
      <c r="J6" s="2"/>
      <c r="K6" s="2"/>
    </row>
    <row r="7" customFormat="false" ht="15" hidden="false" customHeight="false" outlineLevel="0" collapsed="false">
      <c r="A7" s="2" t="n">
        <v>6</v>
      </c>
      <c r="B7" s="3" t="s">
        <v>17</v>
      </c>
      <c r="C7" s="2" t="s">
        <v>12</v>
      </c>
      <c r="D7" s="2" t="s">
        <v>16</v>
      </c>
      <c r="E7" s="2" t="n">
        <v>55</v>
      </c>
      <c r="F7" s="2" t="n">
        <v>80</v>
      </c>
      <c r="G7" s="2" t="str">
        <f aca="false">INDEX(Lookup!$C$2:$C$5,MATCH(C7,Lookup!$A$2:$A$5,0))</f>
        <v>Business</v>
      </c>
      <c r="H7" s="2" t="n">
        <f aca="false">IF(E7&gt;=50,1,0)</f>
        <v>1</v>
      </c>
      <c r="I7" s="2"/>
      <c r="J7" s="2"/>
      <c r="K7" s="2"/>
    </row>
    <row r="8" customFormat="false" ht="15" hidden="false" customHeight="false" outlineLevel="0" collapsed="false">
      <c r="A8" s="2" t="n">
        <v>7</v>
      </c>
      <c r="B8" s="3" t="s">
        <v>17</v>
      </c>
      <c r="C8" s="2" t="s">
        <v>14</v>
      </c>
      <c r="D8" s="2" t="s">
        <v>9</v>
      </c>
      <c r="E8" s="2" t="n">
        <v>48</v>
      </c>
      <c r="F8" s="2" t="n">
        <v>75</v>
      </c>
      <c r="G8" s="2" t="str">
        <f aca="false">INDEX(Lookup!$C$2:$C$5,MATCH(C8,Lookup!$A$2:$A$5,0))</f>
        <v>Technology</v>
      </c>
      <c r="H8" s="2" t="n">
        <f aca="false">IF(E8&gt;=50,1,0)</f>
        <v>0</v>
      </c>
      <c r="I8" s="2"/>
      <c r="J8" s="2"/>
      <c r="K8" s="2"/>
    </row>
    <row r="9" customFormat="false" ht="15" hidden="false" customHeight="false" outlineLevel="0" collapsed="false">
      <c r="A9" s="2" t="n">
        <v>8</v>
      </c>
      <c r="B9" s="3" t="s">
        <v>17</v>
      </c>
      <c r="C9" s="2" t="s">
        <v>15</v>
      </c>
      <c r="D9" s="2" t="s">
        <v>13</v>
      </c>
      <c r="E9" s="2" t="n">
        <v>68</v>
      </c>
      <c r="F9" s="2" t="n">
        <v>88</v>
      </c>
      <c r="G9" s="2" t="str">
        <f aca="false">INDEX(Lookup!$C$2:$C$5,MATCH(C9,Lookup!$A$2:$A$5,0))</f>
        <v>Technology</v>
      </c>
      <c r="H9" s="2" t="n">
        <f aca="false">IF(E9&gt;=50,1,0)</f>
        <v>1</v>
      </c>
      <c r="I9" s="2"/>
      <c r="J9" s="2"/>
      <c r="K9" s="2"/>
    </row>
    <row r="10" customFormat="false" ht="15" hidden="false" customHeight="false" outlineLevel="0" collapsed="false">
      <c r="A10" s="2" t="n">
        <v>9</v>
      </c>
      <c r="B10" s="3" t="s">
        <v>18</v>
      </c>
      <c r="C10" s="2" t="s">
        <v>8</v>
      </c>
      <c r="D10" s="2" t="s">
        <v>16</v>
      </c>
      <c r="E10" s="2" t="n">
        <v>90</v>
      </c>
      <c r="F10" s="2" t="n">
        <v>98</v>
      </c>
      <c r="G10" s="2" t="str">
        <f aca="false">INDEX(Lookup!$C$2:$C$5,MATCH(C10,Lookup!$A$2:$A$5,0))</f>
        <v>Business</v>
      </c>
      <c r="H10" s="2" t="n">
        <f aca="false">IF(E10&gt;=50,1,0)</f>
        <v>1</v>
      </c>
      <c r="I10" s="2"/>
      <c r="J10" s="2"/>
      <c r="K10" s="2"/>
    </row>
    <row r="11" customFormat="false" ht="15" hidden="false" customHeight="false" outlineLevel="0" collapsed="false">
      <c r="A11" s="2" t="n">
        <v>10</v>
      </c>
      <c r="B11" s="3" t="s">
        <v>18</v>
      </c>
      <c r="C11" s="2" t="s">
        <v>12</v>
      </c>
      <c r="D11" s="2" t="s">
        <v>9</v>
      </c>
      <c r="E11" s="2" t="n">
        <v>60</v>
      </c>
      <c r="F11" s="2" t="n">
        <v>82</v>
      </c>
      <c r="G11" s="2" t="str">
        <f aca="false">INDEX(Lookup!$C$2:$C$5,MATCH(C11,Lookup!$A$2:$A$5,0))</f>
        <v>Business</v>
      </c>
      <c r="H11" s="2" t="n">
        <f aca="false">IF(E11&gt;=50,1,0)</f>
        <v>1</v>
      </c>
      <c r="I11" s="2"/>
      <c r="J11" s="2"/>
      <c r="K11" s="2"/>
    </row>
    <row r="12" customFormat="false" ht="15" hidden="false" customHeight="false" outlineLevel="0" collapsed="false">
      <c r="A12" s="2" t="n">
        <v>11</v>
      </c>
      <c r="B12" s="3" t="s">
        <v>18</v>
      </c>
      <c r="C12" s="2" t="s">
        <v>14</v>
      </c>
      <c r="D12" s="2" t="s">
        <v>13</v>
      </c>
      <c r="E12" s="2" t="n">
        <v>75</v>
      </c>
      <c r="F12" s="2" t="n">
        <v>92</v>
      </c>
      <c r="G12" s="2" t="str">
        <f aca="false">INDEX(Lookup!$C$2:$C$5,MATCH(C12,Lookup!$A$2:$A$5,0))</f>
        <v>Technology</v>
      </c>
      <c r="H12" s="2" t="n">
        <f aca="false">IF(E12&gt;=50,1,0)</f>
        <v>1</v>
      </c>
      <c r="I12" s="2"/>
      <c r="J12" s="2"/>
      <c r="K12" s="2"/>
    </row>
    <row r="13" customFormat="false" ht="15" hidden="false" customHeight="false" outlineLevel="0" collapsed="false">
      <c r="A13" s="2" t="n">
        <v>12</v>
      </c>
      <c r="B13" s="3" t="s">
        <v>18</v>
      </c>
      <c r="C13" s="2" t="s">
        <v>15</v>
      </c>
      <c r="D13" s="2" t="s">
        <v>16</v>
      </c>
      <c r="E13" s="2" t="n">
        <v>42</v>
      </c>
      <c r="F13" s="2" t="n">
        <v>65</v>
      </c>
      <c r="G13" s="2" t="str">
        <f aca="false">INDEX(Lookup!$C$2:$C$5,MATCH(C13,Lookup!$A$2:$A$5,0))</f>
        <v>Technology</v>
      </c>
      <c r="H13" s="2" t="n">
        <f aca="false">IF(E13&gt;=50,1,0)</f>
        <v>0</v>
      </c>
      <c r="I13" s="2"/>
      <c r="J13" s="2"/>
      <c r="K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15" hidden="false" customHeight="false" outlineLevel="0" collapsed="false">
      <c r="A1" s="4" t="s">
        <v>32</v>
      </c>
      <c r="B1" s="2"/>
      <c r="C1" s="2"/>
      <c r="D1" s="2"/>
    </row>
    <row r="2" customFormat="false" ht="15" hidden="false" customHeight="false" outlineLevel="0" collapsed="false">
      <c r="A2" s="1" t="s">
        <v>33</v>
      </c>
      <c r="B2" s="1" t="s">
        <v>34</v>
      </c>
      <c r="C2" s="1" t="s">
        <v>35</v>
      </c>
      <c r="D2" s="1" t="s">
        <v>36</v>
      </c>
    </row>
    <row r="3" customFormat="false" ht="15" hidden="false" customHeight="false" outlineLevel="0" collapsed="false">
      <c r="A3" s="2" t="s">
        <v>9</v>
      </c>
      <c r="B3" s="2" t="n">
        <f aca="false">COUNTIFS(Clean!$D$2:$D$13,A3,Clean!$H$2:$H$13,1)</f>
        <v>3</v>
      </c>
      <c r="C3" s="2" t="n">
        <f aca="false">COUNTIFS(Clean!$D$2:$D$13,A3)</f>
        <v>4</v>
      </c>
      <c r="D3" s="5" t="n">
        <f aca="false">IF(C3=0,0,B3/C3)</f>
        <v>0.75</v>
      </c>
    </row>
    <row r="4" customFormat="false" ht="15" hidden="false" customHeight="false" outlineLevel="0" collapsed="false">
      <c r="A4" s="2" t="s">
        <v>13</v>
      </c>
      <c r="B4" s="2" t="n">
        <f aca="false">COUNTIFS(Clean!$D$2:$D$13,A4,Clean!$H$2:$H$13,1)</f>
        <v>3</v>
      </c>
      <c r="C4" s="2" t="n">
        <f aca="false">COUNTIFS(Clean!$D$2:$D$13,A4)</f>
        <v>4</v>
      </c>
      <c r="D4" s="5" t="n">
        <f aca="false">IF(C4=0,0,B4/C4)</f>
        <v>0.75</v>
      </c>
    </row>
    <row r="5" customFormat="false" ht="15" hidden="false" customHeight="false" outlineLevel="0" collapsed="false">
      <c r="A5" s="2" t="s">
        <v>16</v>
      </c>
      <c r="B5" s="2" t="n">
        <f aca="false">COUNTIFS(Clean!$D$2:$D$13,A5,Clean!$H$2:$H$13,1)</f>
        <v>2</v>
      </c>
      <c r="C5" s="2" t="n">
        <f aca="false">COUNTIFS(Clean!$D$2:$D$13,A5)</f>
        <v>4</v>
      </c>
      <c r="D5" s="5" t="n">
        <f aca="false">IF(C5=0,0,B5/C5)</f>
        <v>0.5</v>
      </c>
    </row>
    <row r="6" customFormat="false" ht="15" hidden="false" customHeight="false" outlineLevel="0" collapsed="false">
      <c r="A6" s="2" t="s">
        <v>37</v>
      </c>
      <c r="B6" s="2" t="n">
        <f aca="false">SUM(B3:B5)</f>
        <v>8</v>
      </c>
      <c r="C6" s="2" t="n">
        <f aca="false">SUM(C3:C5)</f>
        <v>12</v>
      </c>
      <c r="D6" s="5" t="n">
        <f aca="false">B6/C6</f>
        <v>0.666666666666667</v>
      </c>
    </row>
    <row r="7" customFormat="false" ht="15" hidden="false" customHeight="false" outlineLevel="0" collapsed="false">
      <c r="A7" s="2"/>
      <c r="B7" s="2"/>
      <c r="C7" s="2"/>
      <c r="D7" s="2"/>
    </row>
    <row r="8" customFormat="false" ht="15" hidden="false" customHeight="false" outlineLevel="0" collapsed="false">
      <c r="A8" s="4" t="s">
        <v>38</v>
      </c>
      <c r="B8" s="2"/>
      <c r="C8" s="2"/>
      <c r="D8" s="2"/>
    </row>
    <row r="9" customFormat="false" ht="15" hidden="false" customHeight="false" outlineLevel="0" collapsed="false">
      <c r="A9" s="1" t="s">
        <v>39</v>
      </c>
      <c r="B9" s="1" t="s">
        <v>7</v>
      </c>
      <c r="C9" s="1" t="s">
        <v>17</v>
      </c>
      <c r="D9" s="1" t="s">
        <v>18</v>
      </c>
    </row>
    <row r="10" customFormat="false" ht="15" hidden="false" customHeight="false" outlineLevel="0" collapsed="false">
      <c r="A10" s="2" t="s">
        <v>22</v>
      </c>
      <c r="B10" s="6" t="n">
        <f aca="false">AVERAGEIFS(Clean!$E$2:$E$13,Clean!$G$2:$G$13,$A10,Clean!$B$2:$B$13,B$9)</f>
        <v>58.5</v>
      </c>
      <c r="C10" s="6" t="n">
        <f aca="false">AVERAGEIFS(Clean!$E$2:$E$13,Clean!$G$2:$G$13,$A10,Clean!$B$2:$B$13,C$9)</f>
        <v>67.5</v>
      </c>
      <c r="D10" s="6" t="n">
        <f aca="false">AVERAGEIFS(Clean!$E$2:$E$13,Clean!$G$2:$G$13,$A10,Clean!$B$2:$B$13,D$9)</f>
        <v>75</v>
      </c>
    </row>
    <row r="11" customFormat="false" ht="15" hidden="false" customHeight="false" outlineLevel="0" collapsed="false">
      <c r="A11" s="2" t="s">
        <v>25</v>
      </c>
      <c r="B11" s="6" t="n">
        <f aca="false">AVERAGEIFS(Clean!$E$2:$E$13,Clean!$G$2:$G$13,$A11,Clean!$B$2:$B$13,B$9)</f>
        <v>51.5</v>
      </c>
      <c r="C11" s="6" t="n">
        <f aca="false">AVERAGEIFS(Clean!$E$2:$E$13,Clean!$G$2:$G$13,$A11,Clean!$B$2:$B$13,C$9)</f>
        <v>58</v>
      </c>
      <c r="D11" s="6" t="n">
        <f aca="false">AVERAGEIFS(Clean!$E$2:$E$13,Clean!$G$2:$G$13,$A11,Clean!$B$2:$B$13,D$9)</f>
        <v>58.5</v>
      </c>
    </row>
    <row r="12" customFormat="false" ht="15" hidden="false" customHeight="false" outlineLevel="0" collapsed="false">
      <c r="A12" s="2"/>
      <c r="B12" s="2"/>
      <c r="C12" s="2"/>
      <c r="D12" s="2"/>
    </row>
    <row r="13" customFormat="false" ht="15" hidden="false" customHeight="false" outlineLevel="0" collapsed="false">
      <c r="A13" s="2" t="s">
        <v>40</v>
      </c>
      <c r="B13" s="2" t="n">
        <f aca="false">ROUND(AVERAGEIFS(Clean!$E$2:$E$13,Clean!$G$2:$G$13,"Technology"),2)</f>
        <v>56</v>
      </c>
      <c r="C13" s="2"/>
      <c r="D13" s="2"/>
    </row>
    <row r="14" customFormat="false" ht="15" hidden="false" customHeight="false" outlineLevel="0" collapsed="false">
      <c r="A14" s="2" t="s">
        <v>41</v>
      </c>
      <c r="B14" s="5" t="n">
        <f aca="false">SUM(Clean!$H$2:$H$13)/COUNTA(Clean!$A$2:$A$13)</f>
        <v>0.666666666666667</v>
      </c>
      <c r="C14" s="2"/>
      <c r="D14" s="2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2" t="s">
        <v>42</v>
      </c>
      <c r="B16" s="2"/>
      <c r="C16" s="2"/>
      <c r="D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2026-10-10T05:58:27Z</dcterms:created>
  <dc:creator>openpyxl</dc:creator>
  <dc:description/>
  <dc:language>en-US</dc:language>
  <cp:lastModifiedBy/>
  <dcterms:modified xsi:type="dcterms:W3CDTF">2026-10-10T05:58:29Z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